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 embudo" sheetId="1" state="visible" r:id="rId1"/>
    <sheet xmlns:r="http://schemas.openxmlformats.org/officeDocument/2006/relationships" name="Escenario" sheetId="2" state="visible" r:id="rId2"/>
    <sheet xmlns:r="http://schemas.openxmlformats.org/officeDocument/2006/relationships" name="Qué mirar" sheetId="3" state="visible" r:id="rId3"/>
  </sheets>
  <definedNames>
    <definedName name="_xlnm.Print_Area" localSheetId="0">'Tu embudo'!$B$1:$F$35</definedName>
    <definedName name="_xlnm.Print_Area" localSheetId="1">'Escenario'!$B$1:$F$26</definedName>
    <definedName name="_xlnm.Print_Titles" localSheetId="2">'Qué mirar'!$4:$4</definedName>
    <definedName name="_xlnm.Print_Area" localSheetId="2">'Qué mirar'!$B$1:$E$38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#,##0 &quot;€&quot;;-#,##0 &quot;€&quot;;&quot;0 €&quot;"/>
    <numFmt numFmtId="165" formatCode="#,##0.##"/>
    <numFmt numFmtId="166" formatCode="#,##0.0"/>
    <numFmt numFmtId="167" formatCode="#,##0.00 &quot;€&quot;"/>
    <numFmt numFmtId="168" formatCode="0.0%"/>
    <numFmt numFmtId="169" formatCode="+#,##0 &quot;€&quot;;-#,##0 &quot;€&quot;;&quot;0 €&quot;"/>
  </numFmts>
  <fonts count="23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5A5E66"/>
      <sz val="10.5"/>
    </font>
    <font>
      <name val="Arial"/>
      <b val="1"/>
      <color rgb="001F3BB3"/>
      <sz val="9"/>
    </font>
    <font>
      <name val="Arial"/>
      <color rgb="005A5E66"/>
      <sz val="9"/>
    </font>
    <font>
      <name val="Arial"/>
      <b val="1"/>
      <color rgb="000E7C74"/>
      <sz val="12"/>
    </font>
    <font>
      <name val="Arial"/>
      <b val="1"/>
      <color rgb="00FFFFFF"/>
      <sz val="9.5"/>
    </font>
    <font>
      <name val="Arial"/>
      <b val="1"/>
      <color rgb="00101319"/>
      <sz val="10.5"/>
    </font>
    <font>
      <name val="Arial"/>
      <b val="1"/>
      <color rgb="001F3BB3"/>
      <sz val="10.5"/>
    </font>
    <font>
      <name val="Arial"/>
      <color rgb="00101319"/>
      <sz val="10.5"/>
    </font>
    <font>
      <name val="Arial"/>
      <b val="1"/>
      <color rgb="00E8590C"/>
      <sz val="9.5"/>
    </font>
    <font>
      <name val="Arial"/>
      <b val="1"/>
      <color rgb="00101319"/>
      <sz val="12"/>
    </font>
    <font>
      <name val="Arial"/>
      <b val="1"/>
      <color rgb="00FFFFFF"/>
      <sz val="13"/>
    </font>
    <font>
      <name val="Arial"/>
      <i val="1"/>
      <color rgb="005A5E66"/>
      <sz val="9"/>
    </font>
    <font>
      <name val="Arial"/>
      <b val="1"/>
      <color rgb="000E7C74"/>
      <sz val="10.5"/>
      <u val="single"/>
    </font>
    <font>
      <name val="Arial"/>
      <b val="1"/>
      <color rgb="000E7C74"/>
      <sz val="10.5"/>
    </font>
    <font>
      <name val="Arial"/>
      <b val="1"/>
      <color rgb="00FFFFFF"/>
      <sz val="12"/>
    </font>
    <font>
      <name val="Arial"/>
      <b val="1"/>
      <color rgb="007FE3D8"/>
      <sz val="16"/>
    </font>
    <font>
      <name val="Arial"/>
      <color rgb="005A5E66"/>
      <sz val="9.5"/>
    </font>
    <font>
      <name val="Arial"/>
      <b val="1"/>
      <color rgb="000E7C74"/>
      <sz val="11.5"/>
    </font>
    <font>
      <name val="Arial"/>
      <color rgb="00101319"/>
      <sz val="10"/>
    </font>
    <font>
      <name val="Arial"/>
      <b val="1"/>
      <color rgb="00FFFFFF"/>
      <sz val="11"/>
    </font>
    <font>
      <name val="Arial"/>
      <i val="1"/>
      <color rgb="005A5E66"/>
      <sz val="9.5"/>
    </font>
  </fonts>
  <fills count="10">
    <fill>
      <patternFill/>
    </fill>
    <fill>
      <patternFill patternType="gray125"/>
    </fill>
    <fill>
      <patternFill patternType="solid">
        <fgColor rgb="00101319"/>
        <bgColor rgb="00101319"/>
      </patternFill>
    </fill>
    <fill>
      <patternFill patternType="solid">
        <fgColor rgb="00FFF2A8"/>
        <bgColor rgb="00FFF2A8"/>
      </patternFill>
    </fill>
    <fill>
      <patternFill patternType="solid">
        <fgColor rgb="000E7C74"/>
        <bgColor rgb="000E7C74"/>
      </patternFill>
    </fill>
    <fill>
      <patternFill patternType="solid">
        <fgColor rgb="00F4F5F6"/>
        <bgColor rgb="00F4F5F6"/>
      </patternFill>
    </fill>
    <fill>
      <patternFill patternType="solid">
        <fgColor rgb="00E6F7F5"/>
        <bgColor rgb="00E6F7F5"/>
      </patternFill>
    </fill>
    <fill>
      <patternFill patternType="solid">
        <fgColor rgb="00E8590C"/>
        <bgColor rgb="00E8590C"/>
      </patternFill>
    </fill>
    <fill>
      <patternFill patternType="solid">
        <fgColor rgb="00FDEBDD"/>
        <bgColor rgb="00FDEBDD"/>
      </patternFill>
    </fill>
    <fill>
      <patternFill patternType="solid">
        <fgColor rgb="00FFFFFF"/>
        <bgColor rgb="00FFFFFF"/>
      </patternFill>
    </fill>
  </fills>
  <borders count="5">
    <border>
      <left/>
      <right/>
      <top/>
      <bottom/>
      <diagonal/>
    </border>
    <border>
      <bottom style="medium">
        <color rgb="0027BDB1"/>
      </bottom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  <border>
      <left style="thin">
        <color rgb="00C9A800"/>
      </left>
      <right style="thin">
        <color rgb="00C9A800"/>
      </right>
      <top style="thin">
        <color rgb="00C9A800"/>
      </top>
      <bottom style="thin">
        <color rgb="00C9A800"/>
      </bottom>
    </border>
    <border/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applyAlignment="1" pivotButton="0" quotePrefix="0" xfId="0">
      <alignment vertical="top" wrapText="1" indent="1"/>
    </xf>
    <xf numFmtId="0" fontId="3" fillId="3" borderId="0" applyAlignment="1" pivotButton="0" quotePrefix="0" xfId="0">
      <alignment indent="1"/>
    </xf>
    <xf numFmtId="0" fontId="4" fillId="0" borderId="0" pivotButton="0" quotePrefix="0" xfId="0"/>
    <xf numFmtId="0" fontId="5" fillId="0" borderId="1" applyAlignment="1" pivotButton="0" quotePrefix="0" xfId="0">
      <alignment vertical="bottom"/>
    </xf>
    <xf numFmtId="0" fontId="0" fillId="0" borderId="1" pivotButton="0" quotePrefix="0" xfId="0"/>
    <xf numFmtId="0" fontId="6" fillId="4" borderId="2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left" vertical="center" indent="1"/>
    </xf>
    <xf numFmtId="164" fontId="8" fillId="3" borderId="3" applyAlignment="1" applyProtection="1" pivotButton="0" quotePrefix="0" xfId="0">
      <alignment horizontal="center" vertical="center"/>
      <protection locked="0" hidden="0"/>
    </xf>
    <xf numFmtId="0" fontId="9" fillId="5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 indent="1"/>
    </xf>
    <xf numFmtId="165" fontId="8" fillId="3" borderId="3" applyAlignment="1" applyProtection="1" pivotButton="0" quotePrefix="0" xfId="0">
      <alignment horizontal="center" vertical="center"/>
      <protection locked="0" hidden="0"/>
    </xf>
    <xf numFmtId="9" fontId="7" fillId="0" borderId="2" applyAlignment="1" pivotButton="0" quotePrefix="0" xfId="0">
      <alignment horizontal="center" vertical="center"/>
    </xf>
    <xf numFmtId="166" fontId="9" fillId="0" borderId="2" applyAlignment="1" pivotButton="0" quotePrefix="0" xfId="0">
      <alignment horizontal="center" vertical="center"/>
    </xf>
    <xf numFmtId="0" fontId="10" fillId="0" borderId="0" applyAlignment="1" pivotButton="0" quotePrefix="0" xfId="0">
      <alignment indent="1"/>
    </xf>
    <xf numFmtId="164" fontId="11" fillId="6" borderId="2" applyAlignment="1" pivotButton="0" quotePrefix="0" xfId="0">
      <alignment horizontal="center" vertical="center"/>
    </xf>
    <xf numFmtId="0" fontId="9" fillId="6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167" fontId="11" fillId="6" borderId="2" applyAlignment="1" pivotButton="0" quotePrefix="0" xfId="0">
      <alignment horizontal="center" vertical="center"/>
    </xf>
    <xf numFmtId="167" fontId="7" fillId="0" borderId="2" applyAlignment="1" pivotButton="0" quotePrefix="0" xfId="0">
      <alignment horizontal="center" vertical="center"/>
    </xf>
    <xf numFmtId="168" fontId="7" fillId="0" borderId="2" applyAlignment="1" pivotButton="0" quotePrefix="0" xfId="0">
      <alignment horizontal="center" vertical="center"/>
    </xf>
    <xf numFmtId="166" fontId="7" fillId="0" borderId="2" applyAlignment="1" pivotButton="0" quotePrefix="0" xfId="0">
      <alignment horizontal="center" vertical="center"/>
    </xf>
    <xf numFmtId="0" fontId="12" fillId="7" borderId="0" applyAlignment="1" pivotButton="0" quotePrefix="0" xfId="0">
      <alignment vertical="center" wrapText="1" indent="1"/>
    </xf>
    <xf numFmtId="0" fontId="9" fillId="8" borderId="0" applyAlignment="1" pivotButton="0" quotePrefix="0" xfId="0">
      <alignment vertical="center" wrapText="1" indent="1"/>
    </xf>
    <xf numFmtId="9" fontId="9" fillId="0" borderId="2" applyAlignment="1" pivotButton="0" quotePrefix="0" xfId="0">
      <alignment horizontal="center" vertical="center"/>
    </xf>
    <xf numFmtId="164" fontId="7" fillId="0" borderId="2" applyAlignment="1" pivotButton="0" quotePrefix="0" xfId="0">
      <alignment horizontal="center" vertical="center"/>
    </xf>
    <xf numFmtId="0" fontId="13" fillId="0" borderId="0" applyAlignment="1" pivotButton="0" quotePrefix="0" xfId="0">
      <alignment vertical="top" wrapText="1" indent="1"/>
    </xf>
    <xf numFmtId="0" fontId="14" fillId="0" borderId="0" applyAlignment="1" pivotButton="0" quotePrefix="0" xfId="0">
      <alignment indent="1"/>
    </xf>
    <xf numFmtId="9" fontId="8" fillId="3" borderId="3" applyAlignment="1" applyProtection="1" pivotButton="0" quotePrefix="0" xfId="0">
      <alignment horizontal="center" vertical="center"/>
      <protection locked="0" hidden="0"/>
    </xf>
    <xf numFmtId="0" fontId="6" fillId="9" borderId="4" applyAlignment="1" pivotButton="0" quotePrefix="0" xfId="0">
      <alignment horizontal="center" vertical="center" wrapText="1"/>
    </xf>
    <xf numFmtId="166" fontId="15" fillId="0" borderId="2" applyAlignment="1" pivotButton="0" quotePrefix="0" xfId="0">
      <alignment horizontal="center" vertical="center"/>
    </xf>
    <xf numFmtId="164" fontId="9" fillId="0" borderId="2" applyAlignment="1" pivotButton="0" quotePrefix="0" xfId="0">
      <alignment horizontal="center" vertical="center"/>
    </xf>
    <xf numFmtId="164" fontId="15" fillId="0" borderId="2" applyAlignment="1" pivotButton="0" quotePrefix="0" xfId="0">
      <alignment horizontal="center" vertical="center"/>
    </xf>
    <xf numFmtId="167" fontId="9" fillId="0" borderId="2" applyAlignment="1" pivotButton="0" quotePrefix="0" xfId="0">
      <alignment horizontal="center" vertical="center"/>
    </xf>
    <xf numFmtId="167" fontId="15" fillId="0" borderId="2" applyAlignment="1" pivotButton="0" quotePrefix="0" xfId="0">
      <alignment horizontal="center" vertical="center"/>
    </xf>
    <xf numFmtId="0" fontId="16" fillId="2" borderId="2" applyAlignment="1" pivotButton="0" quotePrefix="0" xfId="0">
      <alignment horizontal="left" vertical="center" indent="1"/>
    </xf>
    <xf numFmtId="0" fontId="9" fillId="2" borderId="2" applyAlignment="1" pivotButton="0" quotePrefix="0" xfId="0">
      <alignment horizontal="center" vertical="center"/>
    </xf>
    <xf numFmtId="169" fontId="17" fillId="2" borderId="2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 wrapText="1" indent="1"/>
    </xf>
    <xf numFmtId="0" fontId="18" fillId="0" borderId="0" applyAlignment="1" pivotButton="0" quotePrefix="0" xfId="0">
      <alignment vertical="top" wrapText="1" indent="1"/>
    </xf>
    <xf numFmtId="0" fontId="19" fillId="6" borderId="0" applyAlignment="1" pivotButton="0" quotePrefix="0" xfId="0">
      <alignment vertical="center" indent="1"/>
    </xf>
    <xf numFmtId="0" fontId="2" fillId="0" borderId="2" applyAlignment="1" pivotButton="0" quotePrefix="0" xfId="0">
      <alignment horizontal="center" vertical="center"/>
    </xf>
    <xf numFmtId="0" fontId="20" fillId="0" borderId="2" applyAlignment="1" pivotButton="0" quotePrefix="0" xfId="0">
      <alignment horizontal="left" vertical="center" wrapText="1" indent="1"/>
    </xf>
    <xf numFmtId="0" fontId="8" fillId="3" borderId="3" applyAlignment="1" applyProtection="1" pivotButton="0" quotePrefix="0" xfId="0">
      <alignment horizontal="center" vertical="center"/>
      <protection locked="0" hidden="0"/>
    </xf>
    <xf numFmtId="0" fontId="9" fillId="0" borderId="2" applyAlignment="1" applyProtection="1" pivotButton="0" quotePrefix="0" xfId="0">
      <alignment horizontal="center" vertical="center"/>
      <protection locked="0" hidden="0"/>
    </xf>
    <xf numFmtId="0" fontId="21" fillId="2" borderId="0" applyAlignment="1" pivotButton="0" quotePrefix="0" xfId="0">
      <alignment vertical="center" wrapText="1" indent="1"/>
    </xf>
    <xf numFmtId="0" fontId="22" fillId="0" borderId="0" applyAlignment="1" pivotButton="0" quotePrefix="0" xfId="0">
      <alignment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Qualivo</author>
  </authors>
  <commentList>
    <comment ref="C8" authorId="0" shapeId="0">
      <text>
        <t>Ejemplo precargado: 30 solicitudes al mes. Cámbialo por tu número.</t>
      </text>
    </comment>
  </commentList>
</comments>
</file>

<file path=xl/comments/comment2.xml><?xml version="1.0" encoding="utf-8"?>
<comments xmlns="http://schemas.openxmlformats.org/spreadsheetml/2006/main">
  <authors>
    <author>Qualivo</author>
  </authors>
  <commentList>
    <comment ref="D7" authorId="0" shapeId="0">
      <text>
        <t>Prudente: 10 puntos más que hoy, con un máximo del 95 %.</t>
      </text>
    </comment>
    <comment ref="D8" authorId="0" shapeId="0">
      <text>
        <t>Prudente: la asistencia de hoy × 1,5, con un máximo del 85 %.</t>
      </text>
    </comment>
    <comment ref="D9" authorId="0" shapeId="0">
      <text>
        <t>Prudente: igual que hoy. La matrícula depende sobre todo de tu equipo y tu oferta.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qualivo.io/diagnostico/" TargetMode="Externa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F3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4" customWidth="1" min="2" max="2"/>
    <col width="15" customWidth="1" min="3" max="3"/>
    <col width="15" customWidth="1" min="4" max="4"/>
    <col width="15" customWidth="1" min="5" max="5"/>
    <col width="50" customWidth="1" min="6" max="6"/>
  </cols>
  <sheetData>
    <row r="1" ht="38" customHeight="1">
      <c r="B1" s="1" t="inlineStr">
        <is>
          <t>Simulador del embudo · Academias y centros de formación</t>
        </is>
      </c>
    </row>
    <row r="2" ht="32" customHeight="1">
      <c r="B2" s="2" t="inlineStr">
        <is>
          <t>Rellena solo las celdas amarillas con los números de un mes normal. Todo lo demás se calcula solo. Los números que vienen puestos son un EJEMPLO: cámbialos por los tuyos.</t>
        </is>
      </c>
    </row>
    <row r="3">
      <c r="B3" s="3" t="inlineStr">
        <is>
          <t>Celda amarilla = dato tuyo</t>
        </is>
      </c>
      <c r="C3" s="4" t="inlineStr">
        <is>
          <t>Celda blanca = fórmula (no hace falta tocarla)</t>
        </is>
      </c>
    </row>
    <row r="5" ht="24" customHeight="1">
      <c r="B5" s="5" t="inlineStr">
        <is>
          <t>1 · Tu embudo de un mes normal</t>
        </is>
      </c>
      <c r="C5" s="6" t="n"/>
      <c r="D5" s="6" t="n"/>
      <c r="E5" s="6" t="n"/>
      <c r="F5" s="6" t="n"/>
    </row>
    <row r="6" ht="30" customHeight="1">
      <c r="B6" s="7" t="inlineStr">
        <is>
          <t>Etapa</t>
        </is>
      </c>
      <c r="C6" s="8" t="inlineStr">
        <is>
          <t>Tu número al mes</t>
        </is>
      </c>
      <c r="D6" s="8" t="inlineStr">
        <is>
          <t>% que pasa desde la etapa anterior</t>
        </is>
      </c>
      <c r="E6" s="8" t="inlineStr">
        <is>
          <t>Personas que se pierden en este paso</t>
        </is>
      </c>
      <c r="F6" s="8" t="inlineStr">
        <is>
          <t>Qué contar</t>
        </is>
      </c>
    </row>
    <row r="7" ht="30" customHeight="1">
      <c r="B7" s="9" t="inlineStr">
        <is>
          <t>Inversión en anuncios al mes (€)</t>
        </is>
      </c>
      <c r="C7" s="10" t="n">
        <v>1000</v>
      </c>
      <c r="D7" s="11" t="n"/>
      <c r="E7" s="11" t="n"/>
      <c r="F7" s="12" t="inlineStr">
        <is>
          <t>Lo que pagas a Meta, Google, TikTok… en un mes. Sin contar agencia ni diseño.</t>
        </is>
      </c>
    </row>
    <row r="8" ht="30" customHeight="1">
      <c r="B8" s="9" t="inlineStr">
        <is>
          <t>Solicitudes de información que entran</t>
        </is>
      </c>
      <c r="C8" s="13" t="n">
        <v>30</v>
      </c>
      <c r="D8" s="11" t="n"/>
      <c r="E8" s="11" t="n"/>
      <c r="F8" s="12" t="inlineStr">
        <is>
          <t>Formularios, mensajes y llamadas que llegan de los anuncios en ese mes.</t>
        </is>
      </c>
    </row>
    <row r="9" ht="30" customHeight="1">
      <c r="B9" s="9" t="inlineStr">
        <is>
          <t>Hablan contigo o agendan</t>
        </is>
      </c>
      <c r="C9" s="13" t="n">
        <v>25</v>
      </c>
      <c r="D9" s="14">
        <f>IFERROR(MIN(C9/C8,1),0)</f>
        <v>0.833333333333333</v>
      </c>
      <c r="E9" s="15">
        <f>MAX(C8-C9,0)</f>
        <v>5</v>
      </c>
      <c r="F9" s="12" t="inlineStr">
        <is>
          <t>Cuántas de esas solicitudes llegan a hablar con alguien de tu centro o reservan cita.</t>
        </is>
      </c>
    </row>
    <row r="10" ht="30" customHeight="1">
      <c r="B10" s="9" t="inlineStr">
        <is>
          <t>Se presentan a la cita o visita</t>
        </is>
      </c>
      <c r="C10" s="13" t="n">
        <v>10</v>
      </c>
      <c r="D10" s="14">
        <f>IFERROR(MIN(C10/C9,1),0)</f>
        <v>0.4</v>
      </c>
      <c r="E10" s="15">
        <f>MAX(C9-C10,0)</f>
        <v>15</v>
      </c>
      <c r="F10" s="12" t="inlineStr">
        <is>
          <t>Cuántos vienen de verdad (presencial, videollamada o sesión informativa).</t>
        </is>
      </c>
    </row>
    <row r="11" ht="30" customHeight="1">
      <c r="B11" s="9" t="inlineStr">
        <is>
          <t>Se matriculan</t>
        </is>
      </c>
      <c r="C11" s="13" t="n">
        <v>1</v>
      </c>
      <c r="D11" s="14">
        <f>IFERROR(MIN(C11/C10,1),0)</f>
        <v>0.1</v>
      </c>
      <c r="E11" s="15">
        <f>MAX(C10-C11,0)</f>
        <v>9</v>
      </c>
      <c r="F11" s="12" t="inlineStr">
        <is>
          <t>Matrículas pagadas que salen de esas solicitudes.</t>
        </is>
      </c>
    </row>
    <row r="12" ht="30" customHeight="1">
      <c r="B12" s="9" t="inlineStr">
        <is>
          <t>Valor medio de un alumno (€)</t>
        </is>
      </c>
      <c r="C12" s="10" t="n">
        <v>1500</v>
      </c>
      <c r="D12" s="11" t="n"/>
      <c r="E12" s="11" t="n"/>
      <c r="F12" s="12" t="inlineStr">
        <is>
          <t>Lo que factura de media una matrícula (el curso completo, no la reserva).</t>
        </is>
      </c>
    </row>
    <row r="13">
      <c r="B13" s="16" t="str">
        <f>IF(OR(C9&gt;C8,C10&gt;C9,C11&gt;C10),"Ojo: cada etapa tiene que ser igual o menor que la anterior. Revisa los números amarillos.","")</f>
        <v/>
      </c>
    </row>
    <row r="15" ht="24" customHeight="1">
      <c r="B15" s="5" t="inlineStr">
        <is>
          <t>2 · Lo que te dejan hoy los anuncios, cada mes</t>
        </is>
      </c>
      <c r="C15" s="6" t="n"/>
      <c r="D15" s="6" t="n"/>
      <c r="E15" s="6" t="n"/>
      <c r="F15" s="6" t="n"/>
    </row>
    <row r="16" ht="24" customHeight="1">
      <c r="B16" s="9" t="inlineStr">
        <is>
          <t>Facturación al mes que sale de los anuncios</t>
        </is>
      </c>
      <c r="C16" s="17">
        <f>C11*C12</f>
        <v>1500</v>
      </c>
      <c r="D16" s="18" t="n"/>
      <c r="E16" s="12" t="inlineStr">
        <is>
          <t>Matrículas × valor medio de un alumno.</t>
        </is>
      </c>
      <c r="F16" s="19" t="n"/>
    </row>
    <row r="17" ht="24" customHeight="1">
      <c r="B17" s="9" t="inlineStr">
        <is>
          <t>Cada euro invertido te devuelve (ROAS)</t>
        </is>
      </c>
      <c r="C17" s="20">
        <f>IFERROR(C16/C7,0)</f>
        <v>1.5</v>
      </c>
      <c r="D17" s="18" t="n"/>
      <c r="E17" s="12" t="inlineStr">
        <is>
          <t>Facturación ÷ inversión. Por debajo de 1 €, los anuncios no pagan ni su coste.</t>
        </is>
      </c>
      <c r="F17" s="19" t="n"/>
    </row>
    <row r="18" ht="24" customHeight="1">
      <c r="B18" s="9" t="inlineStr">
        <is>
          <t>Coste por alumno matriculado</t>
        </is>
      </c>
      <c r="C18" s="17">
        <f>IF(C11&gt;0,C7/C11,"Sin matrículas")</f>
        <v>1000</v>
      </c>
      <c r="D18" s="18" t="n"/>
      <c r="E18" s="12" t="inlineStr">
        <is>
          <t>Inversión ÷ matrículas. Lo que te cuesta en anuncios cada alumno nuevo.</t>
        </is>
      </c>
      <c r="F18" s="19" t="n"/>
    </row>
    <row r="19" ht="24" customHeight="1">
      <c r="B19" s="9" t="inlineStr">
        <is>
          <t>Coste por solicitud de información</t>
        </is>
      </c>
      <c r="C19" s="21">
        <f>IFERROR(C7/C8,0)</f>
        <v>33.3333333333333</v>
      </c>
      <c r="D19" s="19" t="n"/>
      <c r="E19" s="12" t="inlineStr">
        <is>
          <t>Inversión ÷ solicitudes.</t>
        </is>
      </c>
      <c r="F19" s="19" t="n"/>
    </row>
    <row r="20" ht="24" customHeight="1">
      <c r="B20" s="9" t="inlineStr">
        <is>
          <t>De solicitud a matrícula (conversión total)</t>
        </is>
      </c>
      <c r="C20" s="22">
        <f>IFERROR(C11/C8,0)</f>
        <v>0.0333333333333333</v>
      </c>
      <c r="D20" s="19" t="n"/>
      <c r="E20" s="12" t="inlineStr">
        <is>
          <t>Matrículas ÷ solicitudes.</t>
        </is>
      </c>
      <c r="F20" s="19" t="n"/>
    </row>
    <row r="21" ht="24" customHeight="1">
      <c r="B21" s="9" t="inlineStr">
        <is>
          <t>Solicitudes que no acaban en matrícula</t>
        </is>
      </c>
      <c r="C21" s="23">
        <f>MAX(C8-C11,0)</f>
        <v>29</v>
      </c>
      <c r="D21" s="19" t="n"/>
      <c r="E21" s="12" t="inlineStr">
        <is>
          <t>Solicitudes pagadas que se quedan por el camino.</t>
        </is>
      </c>
      <c r="F21" s="19" t="n"/>
    </row>
    <row r="22" ht="24" customHeight="1">
      <c r="B22" s="9" t="inlineStr">
        <is>
          <t>Facturación que genera cada solicitud</t>
        </is>
      </c>
      <c r="C22" s="21">
        <f>IFERROR(C16/C8,0)</f>
        <v>50</v>
      </c>
      <c r="D22" s="19" t="n"/>
      <c r="E22" s="12" t="inlineStr">
        <is>
          <t>Si esta cifra es mayor que el coste por solicitud, cada solicitud perdida es dinero perdido.</t>
        </is>
      </c>
      <c r="F22" s="19" t="n"/>
    </row>
    <row r="24" ht="24" customHeight="1">
      <c r="B24" s="5" t="inlineStr">
        <is>
          <t>3 · Dónde más pierdes</t>
        </is>
      </c>
      <c r="C24" s="6" t="n"/>
      <c r="D24" s="6" t="n"/>
      <c r="E24" s="6" t="n"/>
      <c r="F24" s="6" t="n"/>
    </row>
    <row r="25" ht="44" customHeight="1">
      <c r="B25" s="24" t="str">
        <f>IF(C8&lt;=0,"Rellena tus números arriba y aquí verás en qué paso se te queda más gente.","En el paso donde más gente se te queda: "&amp;CHOOSE(MATCH(MAX(E9:E11),E9:E11,0),"de la solicitud a hablar contigo","de hablar contigo a presentarse a la cita","de presentarse a matricularse")&amp;" — se pierden "&amp;ROUND(MAX(E9:E11),1)&amp;" de cada "&amp;ROUND(C8,1)&amp;" solicitudes al mes.")</f>
        <v>En el paso donde más gente se te queda: de hablar contigo a presentarse a la cita — se pierden 15 de cada 30 solicitudes al mes.</v>
      </c>
    </row>
    <row r="26" ht="34" customHeight="1">
      <c r="B26" s="25" t="str">
        <f>IF(C8&lt;=0,"",CHOOSE(MATCH(MAX(E9:E11),E9:E11,0),"Lo que suele fallar aquí: se responde tarde y no se insiste. Revisa la hoja «Qué mirar», bloques 1 y 2.","Lo que suele fallar aquí: citas sin confirmar, sin recordatorio y sin recuperar al que falta. Revisa «Qué mirar», bloques 2 y 3.","Lo que suele fallar aquí: la propuesta se queda sin fecha y sin seguimiento. Revisa «Qué mirar», bloque 4."))</f>
        <v>Lo que suele fallar aquí: citas sin confirmar, sin recordatorio y sin recuperar al que falta. Revisa «Qué mirar», bloques 2 y 3.</v>
      </c>
    </row>
    <row r="28" ht="24" customHeight="1">
      <c r="B28" s="5" t="inlineStr">
        <is>
          <t>4 · Lo que vale cada punto de mejora, con tus números</t>
        </is>
      </c>
      <c r="C28" s="6" t="n"/>
      <c r="D28" s="6" t="n"/>
      <c r="E28" s="6" t="n"/>
      <c r="F28" s="6" t="n"/>
    </row>
    <row r="29" ht="30" customHeight="1">
      <c r="B29" s="7" t="inlineStr">
        <is>
          <t>Paso</t>
        </is>
      </c>
      <c r="C29" s="8" t="inlineStr">
        <is>
          <t>Hoy</t>
        </is>
      </c>
      <c r="D29" s="8" t="inlineStr">
        <is>
          <t>+1 punto vale al mes</t>
        </is>
      </c>
      <c r="E29" s="8" t="inlineStr">
        <is>
          <t>+5 puntos valen al mes</t>
        </is>
      </c>
      <c r="F29" s="8" t="inlineStr">
        <is>
          <t>Cómo leerlo</t>
        </is>
      </c>
    </row>
    <row r="30" ht="26" customHeight="1">
      <c r="B30" s="9" t="inlineStr">
        <is>
          <t>De solicitud a hablar contigo</t>
        </is>
      </c>
      <c r="C30" s="26">
        <f>D9</f>
        <v>0.833333333333333</v>
      </c>
      <c r="D30" s="27">
        <f>C8*0.01*D10*D11*C12</f>
        <v>18</v>
      </c>
      <c r="E30" s="27">
        <f>D30*5</f>
        <v>90</v>
      </c>
      <c r="F30" s="12" t="inlineStr">
        <is>
          <t>Una solicitud más de cada 100 que llega a hablar contigo, con el resto igual.</t>
        </is>
      </c>
    </row>
    <row r="31" ht="26" customHeight="1">
      <c r="B31" s="9" t="inlineStr">
        <is>
          <t>De hablar contigo a presentarse</t>
        </is>
      </c>
      <c r="C31" s="26">
        <f>D10</f>
        <v>0.4</v>
      </c>
      <c r="D31" s="27">
        <f>C9*0.01*D11*C12</f>
        <v>37.5</v>
      </c>
      <c r="E31" s="27">
        <f>D31*5</f>
        <v>187.5</v>
      </c>
      <c r="F31" s="12" t="inlineStr">
        <is>
          <t>Una persona más de cada 100 que habla contigo y se presenta.</t>
        </is>
      </c>
    </row>
    <row r="32" ht="26" customHeight="1">
      <c r="B32" s="9" t="inlineStr">
        <is>
          <t>De presentarse a matricularse</t>
        </is>
      </c>
      <c r="C32" s="26">
        <f>D11</f>
        <v>0.1</v>
      </c>
      <c r="D32" s="27">
        <f>C10*0.01*C12</f>
        <v>150</v>
      </c>
      <c r="E32" s="27">
        <f>D32*5</f>
        <v>750</v>
      </c>
      <c r="F32" s="12" t="inlineStr">
        <is>
          <t>Una matrícula más de cada 100 que vienen a la cita.</t>
        </is>
      </c>
    </row>
    <row r="33" ht="28" customHeight="1">
      <c r="B33" s="28" t="inlineStr">
        <is>
          <t>No todos los puntos cuestan lo mismo de ganar: mover la asistencia o la respuesta suele depender de procesos (responder rápido, confirmar, recordar); la matrícula depende más de tu equipo y de tu oferta.</t>
        </is>
      </c>
    </row>
    <row r="35">
      <c r="B35" s="29" t="inlineStr">
        <is>
          <t>¿Quieres que lo miremos con tus números reales? Diagnóstico gratuito de 30 minutos: qualivo.io/diagnostico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25">
    <mergeCell ref="B25:F25"/>
    <mergeCell ref="E17:F17"/>
    <mergeCell ref="C20:D20"/>
    <mergeCell ref="E20:F20"/>
    <mergeCell ref="C16:D16"/>
    <mergeCell ref="B2:F2"/>
    <mergeCell ref="E19:F19"/>
    <mergeCell ref="C22:D22"/>
    <mergeCell ref="B1:F1"/>
    <mergeCell ref="B13:F13"/>
    <mergeCell ref="C21:D21"/>
    <mergeCell ref="B28:F28"/>
    <mergeCell ref="C17:D17"/>
    <mergeCell ref="E16:F16"/>
    <mergeCell ref="B24:F24"/>
    <mergeCell ref="B15:F15"/>
    <mergeCell ref="B33:F33"/>
    <mergeCell ref="C19:D19"/>
    <mergeCell ref="B5:F5"/>
    <mergeCell ref="E22:F22"/>
    <mergeCell ref="C18:D18"/>
    <mergeCell ref="E18:F18"/>
    <mergeCell ref="B26:F26"/>
    <mergeCell ref="E21:F21"/>
    <mergeCell ref="B35:F35"/>
  </mergeCells>
  <dataValidations count="1">
    <dataValidation sqref="C7:C12" showDropDown="0" showInputMessage="0" showErrorMessage="1" allowBlank="1" errorTitle="Número no válido" error="Escribe un número igual o mayor que 0." type="decimal" operator="greaterThanOrEqual">
      <formula1>0</formula1>
    </dataValidation>
  </dataValidations>
  <hyperlinks>
    <hyperlink xmlns:r="http://schemas.openxmlformats.org/officeDocument/2006/relationships" ref="B35" r:id="rId1"/>
  </hyperlinks>
  <printOptions horizontalCentered="1"/>
  <pageMargins left="0.4" right="0.4" top="0.5" bottom="0.5" header="0.5" footer="0.5"/>
  <pageSetup orientation="portrait" paperSize="9" fitToHeight="0" fitToWidth="1"/>
  <headerFooter>
    <oddHeader/>
    <oddFooter>&amp;C&amp;8 qualivo.io · Simulador del embudo · &amp;P/&amp;N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F2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0" customWidth="1" min="2" max="2"/>
    <col width="15" customWidth="1" min="3" max="3"/>
    <col width="17" customWidth="1" min="4" max="4"/>
    <col width="16" customWidth="1" min="5" max="5"/>
    <col width="18" customWidth="1" min="6" max="6"/>
  </cols>
  <sheetData>
    <row r="1" ht="38" customHeight="1">
      <c r="B1" s="1" t="inlineStr">
        <is>
          <t>Escenario: misma inversión, mismas solicitudes, mejores etapas</t>
        </is>
      </c>
    </row>
    <row r="2" ht="32" customHeight="1">
      <c r="B2" s="2" t="inlineStr">
        <is>
          <t>Las celdas amarillas traen el escenario prudente (explicado abajo). Puedes sobrescribirlas con tus propios objetivos, en %. Todo lo demás sale de la hoja «Tu embudo».</t>
        </is>
      </c>
    </row>
    <row r="4" ht="24" customHeight="1">
      <c r="B4" s="5" t="inlineStr">
        <is>
          <t>1 · Tus etapas: hoy y con el objetivo</t>
        </is>
      </c>
      <c r="C4" s="6" t="n"/>
      <c r="D4" s="6" t="n"/>
      <c r="E4" s="6" t="n"/>
      <c r="F4" s="6" t="n"/>
    </row>
    <row r="5" ht="30" customHeight="1">
      <c r="B5" s="7" t="inlineStr">
        <is>
          <t>Paso</t>
        </is>
      </c>
      <c r="C5" s="8" t="inlineStr">
        <is>
          <t>Hoy</t>
        </is>
      </c>
      <c r="D5" s="8" t="inlineStr">
        <is>
          <t>Objetivo (editable)</t>
        </is>
      </c>
      <c r="E5" s="8" t="inlineStr">
        <is>
          <t>Personas al mes hoy</t>
        </is>
      </c>
      <c r="F5" s="8" t="inlineStr">
        <is>
          <t>Personas al mes con el objetivo</t>
        </is>
      </c>
    </row>
    <row r="6" ht="24" customHeight="1">
      <c r="B6" s="9" t="inlineStr">
        <is>
          <t>Solicitudes de información</t>
        </is>
      </c>
      <c r="C6" s="11" t="n"/>
      <c r="D6" s="11" t="n"/>
      <c r="E6" s="15">
        <f>'Tu embudo'!C8</f>
        <v>30</v>
      </c>
      <c r="F6" s="23">
        <f>E6</f>
        <v>30</v>
      </c>
    </row>
    <row r="7" ht="24" customHeight="1">
      <c r="B7" s="9" t="inlineStr">
        <is>
          <t>Hablan contigo o agendan</t>
        </is>
      </c>
      <c r="C7" s="26">
        <f>'Tu embudo'!D9</f>
        <v>0.833333333333333</v>
      </c>
      <c r="D7" s="30">
        <f>MAX(C7,MIN(0.95,C7+0.1))</f>
        <v>0.933333333333333</v>
      </c>
      <c r="E7" s="15">
        <f>'Tu embudo'!C9</f>
        <v>25</v>
      </c>
      <c r="F7" s="23">
        <f>F6*D7</f>
        <v>28</v>
      </c>
    </row>
    <row r="8" ht="24" customHeight="1">
      <c r="B8" s="9" t="inlineStr">
        <is>
          <t>Se presentan a la cita</t>
        </is>
      </c>
      <c r="C8" s="26">
        <f>'Tu embudo'!D10</f>
        <v>0.4</v>
      </c>
      <c r="D8" s="30">
        <f>MAX(C8,MIN(0.85,C8*1.5))</f>
        <v>0.6</v>
      </c>
      <c r="E8" s="15">
        <f>'Tu embudo'!C10</f>
        <v>10</v>
      </c>
      <c r="F8" s="23">
        <f>F7*D8</f>
        <v>16.8</v>
      </c>
    </row>
    <row r="9" ht="24" customHeight="1">
      <c r="B9" s="9" t="inlineStr">
        <is>
          <t>Se matriculan</t>
        </is>
      </c>
      <c r="C9" s="26">
        <f>'Tu embudo'!D11</f>
        <v>0.1</v>
      </c>
      <c r="D9" s="30">
        <f>C9</f>
        <v>0.1</v>
      </c>
      <c r="E9" s="15">
        <f>'Tu embudo'!C11</f>
        <v>1</v>
      </c>
      <c r="F9" s="23">
        <f>F8*D9</f>
        <v>1.68</v>
      </c>
    </row>
    <row r="11" ht="24" customHeight="1">
      <c r="B11" s="5" t="inlineStr">
        <is>
          <t>2 · Lo que cambia</t>
        </is>
      </c>
      <c r="C11" s="6" t="n"/>
      <c r="D11" s="6" t="n"/>
      <c r="E11" s="6" t="n"/>
      <c r="F11" s="6" t="n"/>
    </row>
    <row r="12" ht="30" customHeight="1">
      <c r="B12" s="7" t="inlineStr">
        <is>
          <t>Cada mes</t>
        </is>
      </c>
      <c r="C12" s="8" t="inlineStr">
        <is>
          <t>Hoy</t>
        </is>
      </c>
      <c r="D12" s="8" t="inlineStr">
        <is>
          <t>Con el objetivo</t>
        </is>
      </c>
      <c r="E12" s="8" t="inlineStr">
        <is>
          <t>Diferencia</t>
        </is>
      </c>
      <c r="F12" s="31" t="inlineStr"/>
    </row>
    <row r="13" ht="24" customHeight="1">
      <c r="B13" s="9" t="inlineStr">
        <is>
          <t>Alumnos matriculados al mes</t>
        </is>
      </c>
      <c r="C13" s="15">
        <f>E9</f>
        <v>1</v>
      </c>
      <c r="D13" s="23">
        <f>F9</f>
        <v>1.68</v>
      </c>
      <c r="E13" s="32">
        <f>IFERROR(D13-C13,"—")</f>
        <v>0.680000000000001</v>
      </c>
    </row>
    <row r="14" ht="24" customHeight="1">
      <c r="B14" s="9" t="inlineStr">
        <is>
          <t>Facturación al mes</t>
        </is>
      </c>
      <c r="C14" s="33">
        <f>C13*'Tu embudo'!C12</f>
        <v>1500</v>
      </c>
      <c r="D14" s="27">
        <f>D13*'Tu embudo'!C12</f>
        <v>2520</v>
      </c>
      <c r="E14" s="34">
        <f>IFERROR(D14-C14,"—")</f>
        <v>1020</v>
      </c>
    </row>
    <row r="15" ht="24" customHeight="1">
      <c r="B15" s="9" t="inlineStr">
        <is>
          <t>Cada euro invertido te devuelve (ROAS)</t>
        </is>
      </c>
      <c r="C15" s="35">
        <f>IFERROR(C14/'Tu embudo'!C7,0)</f>
        <v>1.5</v>
      </c>
      <c r="D15" s="21">
        <f>IFERROR(D14/'Tu embudo'!C7,0)</f>
        <v>2.52</v>
      </c>
      <c r="E15" s="36">
        <f>IFERROR(D15-C15,"—")</f>
        <v>1.02</v>
      </c>
    </row>
    <row r="16" ht="24" customHeight="1">
      <c r="B16" s="9" t="inlineStr">
        <is>
          <t>Coste por alumno matriculado</t>
        </is>
      </c>
      <c r="C16" s="33">
        <f>IF(C13&gt;0,'Tu embudo'!C7/C13,"—")</f>
        <v>1000</v>
      </c>
      <c r="D16" s="27">
        <f>IF(D13&gt;0,'Tu embudo'!C7/D13,"—")</f>
        <v>595.238095238095</v>
      </c>
      <c r="E16" s="34">
        <f>IFERROR(D16-C16,"—")</f>
        <v>-404.761904761905</v>
      </c>
    </row>
    <row r="18" ht="32" customHeight="1">
      <c r="B18" s="37" t="inlineStr">
        <is>
          <t>Facturación extra al mes</t>
        </is>
      </c>
      <c r="C18" s="38" t="n"/>
      <c r="D18" s="39">
        <f>E14</f>
        <v>1020</v>
      </c>
      <c r="E18" s="38" t="n"/>
      <c r="F18" s="38" t="n"/>
    </row>
    <row r="19" ht="32" customHeight="1">
      <c r="B19" s="37" t="inlineStr">
        <is>
          <t>Facturación extra al año</t>
        </is>
      </c>
      <c r="C19" s="38" t="n"/>
      <c r="D19" s="39">
        <f>E14*12</f>
        <v>12240</v>
      </c>
      <c r="E19" s="38" t="n"/>
      <c r="F19" s="38" t="n"/>
    </row>
    <row r="20" ht="28" customHeight="1">
      <c r="B20" s="40" t="str">
        <f>"Pasas de "&amp;ROUND(C13,1)&amp;" a "&amp;ROUND(D13,1)&amp;" alumnos al mes con la misma inversión en anuncios y las mismas solicitudes."</f>
        <v>Pasas de 1 a 1.7 alumnos al mes con la misma inversión en anuncios y las mismas solicitudes.</v>
      </c>
    </row>
    <row r="22" ht="24" customHeight="1">
      <c r="B22" s="5" t="inlineStr">
        <is>
          <t>Cómo está hecho el escenario prudente</t>
        </is>
      </c>
      <c r="C22" s="6" t="n"/>
      <c r="D22" s="6" t="n"/>
      <c r="E22" s="6" t="n"/>
      <c r="F22" s="6" t="n"/>
    </row>
    <row r="23" ht="28" customHeight="1">
      <c r="B23" s="41" t="inlineStr">
        <is>
          <t>• Hablan contigo o agendan: 10 puntos más que hoy (máximo 95 %). Es lo que mueve responder en minutos y hacer seguimiento.</t>
        </is>
      </c>
    </row>
    <row r="24" ht="28" customHeight="1">
      <c r="B24" s="41" t="inlineStr">
        <is>
          <t>• Se presentan a la cita: tu asistencia de hoy × 1,5 (máximo 85 %). Es lo que mueven la confirmación, los recordatorios y recuperar al que falta.</t>
        </is>
      </c>
    </row>
    <row r="25" ht="28" customHeight="1">
      <c r="B25" s="41" t="inlineStr">
        <is>
          <t>• Se matriculan: igual que hoy. No lo tocamos: depende sobre todo de tu equipo y de tu oferta.</t>
        </is>
      </c>
    </row>
    <row r="26" ht="28" customHeight="1">
      <c r="B26" s="41" t="inlineStr">
        <is>
          <t>• Son estimaciones con tus números, no una promesa. Úsalas para decidir qué etapa arreglar primero.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4">
    <mergeCell ref="B4:F4"/>
    <mergeCell ref="D19:F19"/>
    <mergeCell ref="B24:F24"/>
    <mergeCell ref="B2:F2"/>
    <mergeCell ref="B20:F20"/>
    <mergeCell ref="B19:C19"/>
    <mergeCell ref="B11:F11"/>
    <mergeCell ref="B25:F25"/>
    <mergeCell ref="D18:F18"/>
    <mergeCell ref="B23:F23"/>
    <mergeCell ref="B1:F1"/>
    <mergeCell ref="B22:F22"/>
    <mergeCell ref="B18:C18"/>
    <mergeCell ref="B26:F26"/>
  </mergeCells>
  <dataValidations count="1">
    <dataValidation sqref="D7:D9" showDropDown="0" showInputMessage="0" showErrorMessage="1" allowBlank="1" errorTitle="Porcentaje no válido" error="Escribe un porcentaje entre 0 % y 100 %." type="decimal" operator="between">
      <formula1>0</formula1>
      <formula2>1</formula2>
    </dataValidation>
  </dataValidations>
  <printOptions horizontalCentered="1"/>
  <pageMargins left="0.4" right="0.4" top="0.5" bottom="0.5" header="0.5" footer="0.5"/>
  <pageSetup orientation="portrait" paperSize="9" fitToHeight="0" fitToWidth="1"/>
  <headerFooter>
    <oddHeader/>
    <oddFooter>&amp;C&amp;8 qualivo.io · Simulador del embudo · &amp;P/&amp;N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1:E3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74" customWidth="1" min="3" max="3"/>
    <col width="14" customWidth="1" min="4" max="4"/>
    <col width="30" customWidth="1" min="5" max="5"/>
  </cols>
  <sheetData>
    <row r="1" ht="38" customHeight="1">
      <c r="B1" s="1" t="inlineStr">
        <is>
          <t>Qué mirar en cada paso</t>
        </is>
      </c>
    </row>
    <row r="2" ht="32" customHeight="1">
      <c r="B2" s="2" t="inlineStr">
        <is>
          <t>Cinco comprobaciones por bloque. Marca «Sí» o «No» en la columna amarilla: cada «No» es un sitio concreto por donde se te escapan alumnos. Empieza por el bloque de «Dónde más pierdes».</t>
        </is>
      </c>
    </row>
    <row r="4" ht="30" customHeight="1">
      <c r="B4" s="7" t="inlineStr">
        <is>
          <t>#</t>
        </is>
      </c>
      <c r="C4" s="8" t="inlineStr">
        <is>
          <t>Comprobación</t>
        </is>
      </c>
      <c r="D4" s="8" t="inlineStr">
        <is>
          <t>¿Lo haces?</t>
        </is>
      </c>
      <c r="E4" s="8" t="inlineStr">
        <is>
          <t>Notas</t>
        </is>
      </c>
    </row>
    <row r="6" ht="24" customHeight="1">
      <c r="B6" s="42" t="inlineStr">
        <is>
          <t>1 · De la solicitud a hablar contigo: velocidad de respuesta</t>
        </is>
      </c>
    </row>
    <row r="7" ht="30" customHeight="1">
      <c r="B7" s="43" t="n">
        <v>1</v>
      </c>
      <c r="C7" s="44" t="inlineStr">
        <is>
          <t>¿Respondes a cada solicitud en menos de 5 minutos en horario de atención?</t>
        </is>
      </c>
      <c r="D7" s="45" t="n"/>
      <c r="E7" s="46" t="n"/>
    </row>
    <row r="8" ht="30" customHeight="1">
      <c r="B8" s="43" t="n">
        <v>2</v>
      </c>
      <c r="C8" s="44" t="inlineStr">
        <is>
          <t>¿Las solicitudes que entran de noche o en fin de semana reciben respuesta automática y llamada a primera hora?</t>
        </is>
      </c>
      <c r="D8" s="45" t="n"/>
      <c r="E8" s="46" t="n"/>
    </row>
    <row r="9" ht="30" customHeight="1">
      <c r="B9" s="43" t="n">
        <v>3</v>
      </c>
      <c r="C9" s="44" t="inlineStr">
        <is>
          <t>¿Sabes cuánto tardas de media en responder? (mira las 10 últimas: hora de entrada y hora de primer contacto)</t>
        </is>
      </c>
      <c r="D9" s="45" t="n"/>
      <c r="E9" s="46" t="n"/>
    </row>
    <row r="10" ht="30" customHeight="1">
      <c r="B10" s="43" t="n">
        <v>4</v>
      </c>
      <c r="C10" s="44" t="inlineStr">
        <is>
          <t>¿Hay una persona responsable de responder cada día, también cuando está de vacaciones o en clase?</t>
        </is>
      </c>
      <c r="D10" s="45" t="n"/>
      <c r="E10" s="46" t="n"/>
    </row>
    <row r="11" ht="30" customHeight="1">
      <c r="B11" s="43" t="n">
        <v>5</v>
      </c>
      <c r="C11" s="44" t="inlineStr">
        <is>
          <t>¿Contestas por el mismo canal por el que te escribió (WhatsApp si escribió por WhatsApp)?</t>
        </is>
      </c>
      <c r="D11" s="45" t="n"/>
      <c r="E11" s="46" t="n"/>
    </row>
    <row r="12" ht="24" customHeight="1">
      <c r="B12" s="42" t="inlineStr">
        <is>
          <t>2 · De la primera respuesta a la cita: seguimiento</t>
        </is>
      </c>
    </row>
    <row r="13" ht="30" customHeight="1">
      <c r="B13" s="43" t="n">
        <v>1</v>
      </c>
      <c r="C13" s="44" t="inlineStr">
        <is>
          <t>¿Haces al menos 4-5 intentos (llamada + WhatsApp) antes de dar una solicitud por perdida?</t>
        </is>
      </c>
      <c r="D13" s="45" t="n"/>
      <c r="E13" s="46" t="n"/>
    </row>
    <row r="14" ht="30" customHeight="1">
      <c r="B14" s="43" t="n">
        <v>2</v>
      </c>
      <c r="C14" s="44" t="inlineStr">
        <is>
          <t>¿Los intentos están repartidos en días y horas distintos, no todos el mismo día?</t>
        </is>
      </c>
      <c r="D14" s="45" t="n"/>
      <c r="E14" s="46" t="n"/>
    </row>
    <row r="15" ht="30" customHeight="1">
      <c r="B15" s="43" t="n">
        <v>3</v>
      </c>
      <c r="C15" s="44" t="inlineStr">
        <is>
          <t>¿Cada solicitud tiene un estado apuntado (nueva, contactada, cita, perdida) en un sitio que ve todo el equipo?</t>
        </is>
      </c>
      <c r="D15" s="45" t="n"/>
      <c r="E15" s="46" t="n"/>
    </row>
    <row r="16" ht="30" customHeight="1">
      <c r="B16" s="43" t="n">
        <v>4</v>
      </c>
      <c r="C16" s="44" t="inlineStr">
        <is>
          <t>¿Propones una fecha y hora concretas en la conversación, en lugar de «ya me dices»?</t>
        </is>
      </c>
      <c r="D16" s="45" t="n"/>
      <c r="E16" s="46" t="n"/>
    </row>
    <row r="17" ht="30" customHeight="1">
      <c r="B17" s="43" t="n">
        <v>5</v>
      </c>
      <c r="C17" s="44" t="inlineStr">
        <is>
          <t>¿Recuperas a los que dijeron «ahora no» con un mensaje a las 2-4 semanas?</t>
        </is>
      </c>
      <c r="D17" s="45" t="n"/>
      <c r="E17" s="46" t="n"/>
    </row>
    <row r="18" ht="24" customHeight="1">
      <c r="B18" s="42" t="inlineStr">
        <is>
          <t>3 · De la cita a que se presente: plantones</t>
        </is>
      </c>
    </row>
    <row r="19" ht="30" customHeight="1">
      <c r="B19" s="43" t="n">
        <v>1</v>
      </c>
      <c r="C19" s="44" t="inlineStr">
        <is>
          <t>¿Confirmas cada cita el mismo día que se agenda, por escrito, con dirección o enlace?</t>
        </is>
      </c>
      <c r="D19" s="45" t="n"/>
      <c r="E19" s="46" t="n"/>
    </row>
    <row r="20" ht="30" customHeight="1">
      <c r="B20" s="43" t="n">
        <v>2</v>
      </c>
      <c r="C20" s="44" t="inlineStr">
        <is>
          <t>¿Mandas recordatorio el día antes y unas horas antes de la cita?</t>
        </is>
      </c>
      <c r="D20" s="45" t="n"/>
      <c r="E20" s="46" t="n"/>
    </row>
    <row r="21" ht="30" customHeight="1">
      <c r="B21" s="43" t="n">
        <v>3</v>
      </c>
      <c r="C21" s="44" t="inlineStr">
        <is>
          <t>¿El recordatorio pide respuesta («¿nos vemos mañana a las 18:00?») y no solo informa?</t>
        </is>
      </c>
      <c r="D21" s="45" t="n"/>
      <c r="E21" s="46" t="n"/>
    </row>
    <row r="22" ht="30" customHeight="1">
      <c r="B22" s="43" t="n">
        <v>4</v>
      </c>
      <c r="C22" s="44" t="inlineStr">
        <is>
          <t>¿Llamas en los primeros 10 minutos al que no se presenta y le das una nueva fecha?</t>
        </is>
      </c>
      <c r="D22" s="45" t="n"/>
      <c r="E22" s="46" t="n"/>
    </row>
    <row r="23" ht="30" customHeight="1">
      <c r="B23" s="43" t="n">
        <v>5</v>
      </c>
      <c r="C23" s="44" t="inlineStr">
        <is>
          <t>¿Sabes tu % de asistencia del último mes (se presentan ÷ agendan)?</t>
        </is>
      </c>
      <c r="D23" s="45" t="n"/>
      <c r="E23" s="46" t="n"/>
    </row>
    <row r="24" ht="24" customHeight="1">
      <c r="B24" s="42" t="inlineStr">
        <is>
          <t>4 · De la visita a la matrícula: propuesta con fecha</t>
        </is>
      </c>
    </row>
    <row r="25" ht="30" customHeight="1">
      <c r="B25" s="43" t="n">
        <v>1</v>
      </c>
      <c r="C25" s="44" t="inlineStr">
        <is>
          <t>¿Cada persona que viene se va con una propuesta concreta: curso, precio, forma de pago y fecha de inicio?</t>
        </is>
      </c>
      <c r="D25" s="45" t="n"/>
      <c r="E25" s="46" t="n"/>
    </row>
    <row r="26" ht="30" customHeight="1">
      <c r="B26" s="43" t="n">
        <v>2</v>
      </c>
      <c r="C26" s="44" t="inlineStr">
        <is>
          <t>¿Acordáis en la visita cuándo volvéis a hablar (día y hora), en lugar de «piénsatelo»?</t>
        </is>
      </c>
      <c r="D26" s="45" t="n"/>
      <c r="E26" s="46" t="n"/>
    </row>
    <row r="27" ht="30" customHeight="1">
      <c r="B27" s="43" t="n">
        <v>3</v>
      </c>
      <c r="C27" s="44" t="inlineStr">
        <is>
          <t>¿Haces seguimiento en las 48 horas siguientes a la visita?</t>
        </is>
      </c>
      <c r="D27" s="45" t="n"/>
      <c r="E27" s="46" t="n"/>
    </row>
    <row r="28" ht="30" customHeight="1">
      <c r="B28" s="43" t="n">
        <v>4</v>
      </c>
      <c r="C28" s="44" t="inlineStr">
        <is>
          <t>¿Hay una fecha límite real (inicio de grupo, plazas, convocatoria) y la cuentas sin inventarla?</t>
        </is>
      </c>
      <c r="D28" s="45" t="n"/>
      <c r="E28" s="46" t="n"/>
    </row>
    <row r="29" ht="30" customHeight="1">
      <c r="B29" s="43" t="n">
        <v>5</v>
      </c>
      <c r="C29" s="44" t="inlineStr">
        <is>
          <t>¿Apuntas por qué no se matricula el que no se matricula (precio, horario, fechas, no lo tiene claro)?</t>
        </is>
      </c>
      <c r="D29" s="45" t="n"/>
      <c r="E29" s="46" t="n"/>
    </row>
    <row r="30" ht="24" customHeight="1">
      <c r="B30" s="42" t="inlineStr">
        <is>
          <t>5 · Qué anuncio trae matrículas: medición</t>
        </is>
      </c>
    </row>
    <row r="31" ht="30" customHeight="1">
      <c r="B31" s="43" t="n">
        <v>1</v>
      </c>
      <c r="C31" s="44" t="inlineStr">
        <is>
          <t>¿Sabes de qué campaña o anuncio viene cada solicitud (formulario con origen, UTM o pregunta al alumno)?</t>
        </is>
      </c>
      <c r="D31" s="45" t="n"/>
      <c r="E31" s="46" t="n"/>
    </row>
    <row r="32" ht="30" customHeight="1">
      <c r="B32" s="43" t="n">
        <v>2</v>
      </c>
      <c r="C32" s="44" t="inlineStr">
        <is>
          <t>¿Sabes cuántas matrículas trajo cada campaña el mes pasado, no solo cuántas solicitudes?</t>
        </is>
      </c>
      <c r="D32" s="45" t="n"/>
      <c r="E32" s="46" t="n"/>
    </row>
    <row r="33" ht="30" customHeight="1">
      <c r="B33" s="43" t="n">
        <v>3</v>
      </c>
      <c r="C33" s="44" t="inlineStr">
        <is>
          <t>¿Calculas el coste por alumno matriculado de cada campaña, no solo el coste por solicitud?</t>
        </is>
      </c>
      <c r="D33" s="45" t="n"/>
      <c r="E33" s="46" t="n"/>
    </row>
    <row r="34" ht="30" customHeight="1">
      <c r="B34" s="43" t="n">
        <v>4</v>
      </c>
      <c r="C34" s="44" t="inlineStr">
        <is>
          <t>¿La plataforma de anuncios recibe de vuelta qué solicitudes acabaron en matrícula?</t>
        </is>
      </c>
      <c r="D34" s="45" t="n"/>
      <c r="E34" s="46" t="n"/>
    </row>
    <row r="35" ht="30" customHeight="1">
      <c r="B35" s="43" t="n">
        <v>5</v>
      </c>
      <c r="C35" s="44" t="inlineStr">
        <is>
          <t>¿Revisas estos números al menos una vez al mes antes de decidir dónde poner el presupuesto?</t>
        </is>
      </c>
      <c r="D35" s="45" t="n"/>
      <c r="E35" s="46" t="n"/>
    </row>
    <row r="37" ht="34" customHeight="1">
      <c r="B37" s="47" t="str">
        <f>IF(COUNTA(D6:D35)=0,"Cuando marques las comprobaciones, aquí verás cuántos «No» tienes.","Tienes "&amp;COUNTIF(D6:D35,"No")&amp;" «No» de "&amp;COUNTA(D6:D35)&amp;" comprobaciones marcadas. Empieza por el bloque con más «No» dentro de tu paso más débil.")</f>
        <v>Cuando marques las comprobaciones, aquí verás cuántos «No» tienes.</v>
      </c>
    </row>
    <row r="38" ht="26" customHeight="1">
      <c r="B38" s="48" t="inlineStr">
        <is>
          <t>Guía completa con ejemplos y arreglos para esta semana: «Las 5 fugas entre el anuncio y la matrícula» (PDF que acompaña a esta hoja).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9">
    <mergeCell ref="B18:E18"/>
    <mergeCell ref="B1:E1"/>
    <mergeCell ref="B12:E12"/>
    <mergeCell ref="B6:E6"/>
    <mergeCell ref="B30:E30"/>
    <mergeCell ref="B38:E38"/>
    <mergeCell ref="B24:E24"/>
    <mergeCell ref="B2:E2"/>
    <mergeCell ref="B37:E37"/>
  </mergeCells>
  <dataValidations count="1">
    <dataValidation sqref="D7 D8 D9 D10 D11 D13 D14 D15 D16 D17 D19 D20 D21 D22 D23 D25 D26 D27 D28 D29 D31 D32 D33 D34 D35" showDropDown="0" showInputMessage="0" showErrorMessage="0" allowBlank="1" type="list">
      <formula1>"Sí,No"</formula1>
    </dataValidation>
  </dataValidations>
  <printOptions horizontalCentered="1"/>
  <pageMargins left="0.4" right="0.4" top="0.5" bottom="0.5" header="0.5" footer="0.5"/>
  <pageSetup orientation="portrait" paperSize="9" fitToHeight="0" fitToWidth="1"/>
  <headerFooter>
    <oddHeader/>
    <oddFooter>&amp;C&amp;8 qualivo.io · Simulador del embudo · &amp;P/&amp;N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Qualivo</dc:creator>
  <dc:title xmlns:dc="http://purl.org/dc/elements/1.1/">Simulador del embudo · Academias</dc:title>
  <dcterms:created xmlns:dcterms="http://purl.org/dc/terms/" xmlns:xsi="http://www.w3.org/2001/XMLSchema-instance" xsi:type="dcterms:W3CDTF">2026-09-29T22:55:20Z</dcterms:created>
  <dcterms:modified xmlns:dcterms="http://purl.org/dc/terms/" xmlns:xsi="http://www.w3.org/2001/XMLSchema-instance" xsi:type="dcterms:W3CDTF">2026-09-29T22:55:20Z</dcterms:modified>
</cp:coreProperties>
</file>